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<sst xmlns="http://schemas.openxmlformats.org/spreadsheetml/2006/main" count="79" uniqueCount="79">
  <si>
    <t xml:space="preserve">Jeux</t>
  </si>
  <si>
    <t xml:space="preserve">Game ID</t>
  </si>
  <si>
    <t xml:space="preserve">Paliers des 1500</t>
  </si>
  <si>
    <t xml:space="preserve">Paliers des 1400</t>
  </si>
  <si>
    <t xml:space="preserve">Paliers des 1300</t>
  </si>
  <si>
    <t xml:space="preserve">Etoile rouge</t>
  </si>
  <si>
    <t xml:space="preserve">Etoile orange</t>
  </si>
  <si>
    <t xml:space="preserve">Etoile verte</t>
  </si>
  <si>
    <t xml:space="preserve">ABC révolution</t>
  </si>
  <si>
    <t xml:space="preserve">Alchimie</t>
  </si>
  <si>
    <t xml:space="preserve">Alphabounce</t>
  </si>
  <si>
    <t xml:space="preserve">Aqua Splash</t>
  </si>
  <si>
    <t xml:space="preserve">Atlanteine</t>
  </si>
  <si>
    <t xml:space="preserve">Autrement</t>
  </si>
  <si>
    <t xml:space="preserve">Bactery</t>
  </si>
  <si>
    <t xml:space="preserve">Binary</t>
  </si>
  <si>
    <t xml:space="preserve">Cereal Punk</t>
  </si>
  <si>
    <t xml:space="preserve">Chakré Boudha</t>
  </si>
  <si>
    <t xml:space="preserve">Choco Mouche</t>
  </si>
  <si>
    <t xml:space="preserve">Cooking Lili</t>
  </si>
  <si>
    <t xml:space="preserve">Cosmo Crash</t>
  </si>
  <si>
    <t xml:space="preserve">Crepuscud</t>
  </si>
  <si>
    <t xml:space="preserve">Cyclopean</t>
  </si>
  <si>
    <t xml:space="preserve">Digestomax</t>
  </si>
  <si>
    <t xml:space="preserve">Drakhan</t>
  </si>
  <si>
    <t xml:space="preserve">El Tortuga Nemesis</t>
  </si>
  <si>
    <t xml:space="preserve">Electrolink</t>
  </si>
  <si>
    <t xml:space="preserve">Ellon in the dark</t>
  </si>
  <si>
    <t xml:space="preserve">F1 Champion</t>
  </si>
  <si>
    <t xml:space="preserve">Flushee</t>
  </si>
  <si>
    <t xml:space="preserve">Happy Pti Tank</t>
  </si>
  <si>
    <t xml:space="preserve">Hexile</t>
  </si>
  <si>
    <t xml:space="preserve">Hypercube</t>
  </si>
  <si>
    <t xml:space="preserve">Interwheel</t>
  </si>
  <si>
    <t xml:space="preserve">Invasion</t>
  </si>
  <si>
    <t xml:space="preserve">Iron Chouquette</t>
  </si>
  <si>
    <t xml:space="preserve">Judo Commando</t>
  </si>
  <si>
    <t xml:space="preserve">Julianus</t>
  </si>
  <si>
    <t xml:space="preserve">K-Slash</t>
  </si>
  <si>
    <t xml:space="preserve">K-Train</t>
  </si>
  <si>
    <t xml:space="preserve">Kanji</t>
  </si>
  <si>
    <t xml:space="preserve">Kanji Gaiden</t>
  </si>
  <si>
    <t xml:space="preserve">Kanji's Adventure</t>
  </si>
  <si>
    <t xml:space="preserve">Kanji's Nightmare</t>
  </si>
  <si>
    <t xml:space="preserve">Kaskade 2</t>
  </si>
  <si>
    <t xml:space="preserve">Kavern</t>
  </si>
  <si>
    <t xml:space="preserve">Kill Bulle</t>
  </si>
  <si>
    <t xml:space="preserve">Klinker Surprise</t>
  </si>
  <si>
    <t xml:space="preserve">Linéa</t>
  </si>
  <si>
    <t xml:space="preserve">Logic'O</t>
  </si>
  <si>
    <t xml:space="preserve">Magmax</t>
  </si>
  <si>
    <t xml:space="preserve">Manda</t>
  </si>
  <si>
    <t xml:space="preserve">Mini-Race</t>
  </si>
  <si>
    <t xml:space="preserve">Opalus</t>
  </si>
  <si>
    <t xml:space="preserve">Opalus Factory</t>
  </si>
  <si>
    <t xml:space="preserve">Oursouinvader</t>
  </si>
  <si>
    <t xml:space="preserve">Pacifik</t>
  </si>
  <si>
    <t xml:space="preserve">Paradice</t>
  </si>
  <si>
    <t xml:space="preserve">Phagocytoz</t>
  </si>
  <si>
    <t xml:space="preserve">Piou-Piou</t>
  </si>
  <si>
    <t xml:space="preserve">Pioutch</t>
  </si>
  <si>
    <t xml:space="preserve">Popcorn</t>
  </si>
  <si>
    <t xml:space="preserve">Punch-In !</t>
  </si>
  <si>
    <t xml:space="preserve">Puzzle-Manda</t>
  </si>
  <si>
    <t xml:space="preserve">Quadrikolor</t>
  </si>
  <si>
    <t xml:space="preserve">Razor</t>
  </si>
  <si>
    <t xml:space="preserve">Red Raid</t>
  </si>
  <si>
    <t xml:space="preserve">Safari</t>
  </si>
  <si>
    <t xml:space="preserve">Schizo Fuzz</t>
  </si>
  <si>
    <t xml:space="preserve">Spiroule</t>
  </si>
  <si>
    <t xml:space="preserve">Starfang</t>
  </si>
  <si>
    <t xml:space="preserve">Synapses</t>
  </si>
  <si>
    <t xml:space="preserve">Tianan Man</t>
  </si>
  <si>
    <t xml:space="preserve">Tout-Caen</t>
  </si>
  <si>
    <t xml:space="preserve">Toy Maniak</t>
  </si>
  <si>
    <t xml:space="preserve">Travoltax</t>
  </si>
  <si>
    <t xml:space="preserve">Twin Spirit</t>
  </si>
  <si>
    <t xml:space="preserve">Xian-Xiang</t>
  </si>
  <si>
    <t xml:space="preserve">ZipZap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</si>
</sst>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6AA84F"/>
      <name val="Cambria"/>
      <family val="0"/>
      <charset val="1"/>
    </font>
    <font>
      <b val="true"/>
      <sz val="11"/>
      <color rgb="FFA64D79"/>
      <name val="Inconsolat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64D79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B73" activeCellId="0" sqref="B73"/>
    </sheetView>
  </sheetViews>
  <sheetFormatPr defaultColWidth="12.6328125" defaultRowHeight="12.75" zeroHeight="false" outlineLevelRow="0" outlineLevelCol="0"/>
  <cols>
    <col collapsed="false" customWidth="true" hidden="false" outlineLevel="0" max="2" min="1" style="1" width="19.3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24.38"/>
    <col collapsed="false" customWidth="true" hidden="false" outlineLevel="0" max="8" min="6" style="1" width="19.6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1.25" hidden="false" customHeight="true" outlineLevel="0" collapsed="false">
      <c r="A2" s="2"/>
      <c r="B2" s="2"/>
      <c r="C2" s="3"/>
      <c r="D2" s="4"/>
    </row>
    <row r="3" customFormat="false" ht="12.75" hidden="false" customHeight="false" outlineLevel="0" collapsed="false">
      <c r="A3" s="5" t="s">
        <v>8</v>
      </c>
      <c r="B3" s="5"/>
      <c r="C3" s="6" t="n">
        <v>78000</v>
      </c>
      <c r="D3" s="7" t="n">
        <f aca="false">(1400/((1500-1150)/(C3-G3)))+(G3-(1150*(C3-G3)/(1500-1150)))</f>
        <v>55714.2857142857</v>
      </c>
      <c r="E3" s="8" t="n">
        <f aca="false">(1300/((1500-1150)/(C3-G3)))+(G3-(1150*(C3-G3)/(1500-1150)))</f>
        <v>33428.5714285715</v>
      </c>
      <c r="F3" s="9" t="n">
        <v>50438</v>
      </c>
      <c r="G3" s="9"/>
      <c r="H3" s="9"/>
    </row>
    <row r="4" customFormat="false" ht="12.75" hidden="false" customHeight="false" outlineLevel="0" collapsed="false">
      <c r="A4" s="5" t="s">
        <v>9</v>
      </c>
      <c r="B4" s="5"/>
      <c r="C4" s="6" t="n">
        <v>1000000</v>
      </c>
      <c r="D4" s="7" t="n">
        <f aca="false">(1400/((1500-1150)/(C4-G4)))+(G4-(1150*(C4-G4)/(1500-1150)))</f>
        <v>714285.714285714</v>
      </c>
      <c r="E4" s="8" t="n">
        <f aca="false">(1300/((1500-1150)/(C4-G4)))+(G4-(1150*(C4-G4)/(1500-1150)))</f>
        <v>428571.428571429</v>
      </c>
      <c r="F4" s="9" t="n">
        <v>236810</v>
      </c>
      <c r="G4" s="9"/>
      <c r="H4" s="9"/>
    </row>
    <row r="5" customFormat="false" ht="12.75" hidden="false" customHeight="false" outlineLevel="0" collapsed="false">
      <c r="A5" s="5" t="s">
        <v>10</v>
      </c>
      <c r="B5" s="5"/>
      <c r="C5" s="6" t="n">
        <v>110000</v>
      </c>
      <c r="D5" s="7" t="n">
        <f aca="false">(1400/((1500-1150)/(C5-G5)))+(G5-(1150*(C5-G5)/(1500-1150)))</f>
        <v>78571.4285714286</v>
      </c>
      <c r="E5" s="8" t="n">
        <f aca="false">(1300/((1500-1150)/(C5-G5)))+(G5-(1150*(C5-G5)/(1500-1150)))</f>
        <v>47142.8571428572</v>
      </c>
      <c r="F5" s="9" t="n">
        <v>35862</v>
      </c>
      <c r="G5" s="9"/>
      <c r="H5" s="9"/>
    </row>
    <row r="6" customFormat="false" ht="12.75" hidden="false" customHeight="false" outlineLevel="0" collapsed="false">
      <c r="A6" s="5" t="s">
        <v>11</v>
      </c>
      <c r="B6" s="5"/>
      <c r="C6" s="6" t="n">
        <v>180000</v>
      </c>
      <c r="D6" s="7" t="n">
        <f aca="false">(1400/((1500-1150)/(C6-G6)))+(G6-(1150*(C6-G6)/(1500-1150)))</f>
        <v>128571.428571429</v>
      </c>
      <c r="E6" s="8" t="n">
        <f aca="false">(1300/((1500-1150)/(C6-G6)))+(G6-(1150*(C6-G6)/(1500-1150)))</f>
        <v>77142.8571428572</v>
      </c>
      <c r="F6" s="9" t="n">
        <v>130786</v>
      </c>
      <c r="G6" s="9"/>
      <c r="H6" s="9"/>
    </row>
    <row r="7" customFormat="false" ht="12.75" hidden="false" customHeight="false" outlineLevel="0" collapsed="false">
      <c r="A7" s="5" t="s">
        <v>12</v>
      </c>
      <c r="B7" s="5" t="n">
        <v>56</v>
      </c>
      <c r="C7" s="6" t="n">
        <v>155000</v>
      </c>
      <c r="D7" s="7" t="n">
        <f aca="false">(1400/((1500-1150)/(C7-G7)))+(G7-(1150*(C7-G7)/(1500-1150)))</f>
        <v>128225.142857143</v>
      </c>
      <c r="E7" s="8" t="n">
        <f aca="false">(1300/((1500-1150)/(C7-G7)))+(G7-(1150*(C7-G7)/(1500-1150)))</f>
        <v>101450.285714286</v>
      </c>
      <c r="F7" s="9" t="n">
        <v>74612</v>
      </c>
      <c r="G7" s="9" t="n">
        <v>61288</v>
      </c>
      <c r="H7" s="9" t="n">
        <v>34641</v>
      </c>
    </row>
    <row r="8" customFormat="false" ht="12.75" hidden="false" customHeight="false" outlineLevel="0" collapsed="false">
      <c r="A8" s="5" t="s">
        <v>13</v>
      </c>
      <c r="B8" s="5"/>
      <c r="C8" s="6" t="n">
        <v>62000</v>
      </c>
      <c r="D8" s="7" t="n">
        <f aca="false">(1400/((1500-1150)/(C8-G8)))+(G8-(1150*(C8-G8)/(1500-1150)))</f>
        <v>44285.7142857143</v>
      </c>
      <c r="E8" s="8" t="n">
        <f aca="false">(1300/((1500-1150)/(C8-G8)))+(G8-(1150*(C8-G8)/(1500-1150)))</f>
        <v>26571.4285714286</v>
      </c>
      <c r="F8" s="9" t="n">
        <v>25144</v>
      </c>
      <c r="G8" s="9"/>
      <c r="H8" s="9"/>
    </row>
    <row r="9" customFormat="false" ht="12.75" hidden="false" customHeight="false" outlineLevel="0" collapsed="false">
      <c r="A9" s="5" t="s">
        <v>14</v>
      </c>
      <c r="B9" s="5"/>
      <c r="C9" s="6" t="n">
        <v>17500</v>
      </c>
      <c r="D9" s="7" t="n">
        <f aca="false">(1400/((1500-1150)/(C9-G9)))+(G9-(1150*(C9-G9)/(1500-1150)))</f>
        <v>12500</v>
      </c>
      <c r="E9" s="8" t="n">
        <f aca="false">(1300/((1500-1150)/(C9-G9)))+(G9-(1150*(C9-G9)/(1500-1150)))</f>
        <v>7500</v>
      </c>
      <c r="F9" s="9" t="n">
        <v>15294</v>
      </c>
      <c r="G9" s="9"/>
      <c r="H9" s="9"/>
    </row>
    <row r="10" customFormat="false" ht="12.75" hidden="false" customHeight="false" outlineLevel="0" collapsed="false">
      <c r="A10" s="5" t="s">
        <v>15</v>
      </c>
      <c r="B10" s="5"/>
      <c r="C10" s="6" t="n">
        <v>130000</v>
      </c>
      <c r="D10" s="7" t="n">
        <f aca="false">(1400/((1500-1150)/(C10-G10)))+(G10-(1150*(C10-G10)/(1500-1150)))</f>
        <v>92857.1428571428</v>
      </c>
      <c r="E10" s="8" t="n">
        <f aca="false">(1300/((1500-1150)/(C10-G10)))+(G10-(1150*(C10-G10)/(1500-1150)))</f>
        <v>55714.2857142857</v>
      </c>
      <c r="F10" s="9" t="n">
        <v>51702</v>
      </c>
      <c r="G10" s="9"/>
      <c r="H10" s="9"/>
    </row>
    <row r="11" customFormat="false" ht="12.75" hidden="false" customHeight="false" outlineLevel="0" collapsed="false">
      <c r="A11" s="5" t="s">
        <v>16</v>
      </c>
      <c r="B11" s="5"/>
      <c r="C11" s="6" t="n">
        <v>124000</v>
      </c>
      <c r="D11" s="7" t="n">
        <f aca="false">(1400/((1500-1150)/(C11-G11)))+(G11-(1150*(C11-G11)/(1500-1150)))</f>
        <v>88571.4285714286</v>
      </c>
      <c r="E11" s="8" t="n">
        <f aca="false">(1300/((1500-1150)/(C11-G11)))+(G11-(1150*(C11-G11)/(1500-1150)))</f>
        <v>53142.8571428572</v>
      </c>
      <c r="F11" s="9" t="n">
        <v>65628</v>
      </c>
      <c r="G11" s="9"/>
      <c r="H11" s="9"/>
    </row>
    <row r="12" customFormat="false" ht="12.75" hidden="false" customHeight="false" outlineLevel="0" collapsed="false">
      <c r="A12" s="5" t="s">
        <v>17</v>
      </c>
      <c r="B12" s="5"/>
      <c r="C12" s="6" t="n">
        <v>330000</v>
      </c>
      <c r="D12" s="7" t="n">
        <f aca="false">(1400/((1500-1150)/(C12-G12)))+(G12-(1150*(C12-G12)/(1500-1150)))</f>
        <v>235714.285714285</v>
      </c>
      <c r="E12" s="8" t="n">
        <f aca="false">(1300/((1500-1150)/(C12-G12)))+(G12-(1150*(C12-G12)/(1500-1150)))</f>
        <v>141428.571428571</v>
      </c>
      <c r="F12" s="9" t="n">
        <v>67353</v>
      </c>
      <c r="G12" s="9"/>
      <c r="H12" s="9"/>
    </row>
    <row r="13" customFormat="false" ht="12.75" hidden="false" customHeight="false" outlineLevel="0" collapsed="false">
      <c r="A13" s="5" t="s">
        <v>18</v>
      </c>
      <c r="B13" s="5" t="n">
        <v>58</v>
      </c>
      <c r="C13" s="6" t="n">
        <v>675000</v>
      </c>
      <c r="D13" s="7" t="n">
        <f aca="false">(1400/((1500-1150)/(C13-G13)))+(G13-(1150*(C13-G13)/(1500-1150)))</f>
        <v>540457.428571429</v>
      </c>
      <c r="E13" s="8" t="n">
        <f aca="false">(1300/((1500-1150)/(C13-G13)))+(G13-(1150*(C13-G13)/(1500-1150)))</f>
        <v>405914.857142857</v>
      </c>
      <c r="F13" s="9" t="n">
        <v>264131</v>
      </c>
      <c r="G13" s="9" t="n">
        <v>204101</v>
      </c>
      <c r="H13" s="9" t="n">
        <v>84041</v>
      </c>
    </row>
    <row r="14" customFormat="false" ht="12.75" hidden="false" customHeight="false" outlineLevel="0" collapsed="false">
      <c r="A14" s="5" t="s">
        <v>19</v>
      </c>
      <c r="B14" s="5"/>
      <c r="C14" s="6" t="n">
        <v>115000</v>
      </c>
      <c r="D14" s="7" t="n">
        <f aca="false">(1400/((1500-1150)/(C14-G14)))+(G14-(1150*(C14-G14)/(1500-1150)))</f>
        <v>82142.8571428572</v>
      </c>
      <c r="E14" s="8" t="n">
        <f aca="false">(1300/((1500-1150)/(C14-G14)))+(G14-(1150*(C14-G14)/(1500-1150)))</f>
        <v>49285.7142857143</v>
      </c>
      <c r="F14" s="9" t="n">
        <v>49374</v>
      </c>
      <c r="G14" s="9"/>
      <c r="H14" s="9"/>
    </row>
    <row r="15" customFormat="false" ht="12.75" hidden="false" customHeight="false" outlineLevel="0" collapsed="false">
      <c r="A15" s="5" t="s">
        <v>20</v>
      </c>
      <c r="B15" s="5"/>
      <c r="C15" s="6" t="n">
        <v>145000</v>
      </c>
      <c r="D15" s="7" t="n">
        <f aca="false">(1400/((1500-1150)/(C15-G15)))+(G15-(1150*(C15-G15)/(1500-1150)))</f>
        <v>103571.428571429</v>
      </c>
      <c r="E15" s="8" t="n">
        <f aca="false">(1300/((1500-1150)/(C15-G15)))+(G15-(1150*(C15-G15)/(1500-1150)))</f>
        <v>62142.8571428571</v>
      </c>
      <c r="F15" s="9" t="n">
        <v>46428</v>
      </c>
      <c r="G15" s="9"/>
      <c r="H15" s="9"/>
    </row>
    <row r="16" customFormat="false" ht="12.75" hidden="false" customHeight="false" outlineLevel="0" collapsed="false">
      <c r="A16" s="5" t="s">
        <v>21</v>
      </c>
      <c r="B16" s="5"/>
      <c r="C16" s="6" t="n">
        <v>250000</v>
      </c>
      <c r="D16" s="7" t="n">
        <f aca="false">(1400/((1500-1150)/(C16-G16)))+(G16-(1150*(C16-G16)/(1500-1150)))</f>
        <v>178571.428571429</v>
      </c>
      <c r="E16" s="8" t="n">
        <f aca="false">(1300/((1500-1150)/(C16-G16)))+(G16-(1150*(C16-G16)/(1500-1150)))</f>
        <v>107142.857142857</v>
      </c>
      <c r="F16" s="9" t="n">
        <v>139628</v>
      </c>
      <c r="G16" s="9"/>
      <c r="H16" s="9"/>
    </row>
    <row r="17" customFormat="false" ht="12.75" hidden="false" customHeight="false" outlineLevel="0" collapsed="false">
      <c r="A17" s="5" t="s">
        <v>22</v>
      </c>
      <c r="B17" s="5"/>
      <c r="C17" s="6" t="n">
        <v>250000</v>
      </c>
      <c r="D17" s="7" t="n">
        <f aca="false">(1400/((1500-1150)/(C17-G17)))+(G17-(1150*(C17-G17)/(1500-1150)))</f>
        <v>178571.428571429</v>
      </c>
      <c r="E17" s="8" t="n">
        <f aca="false">(1300/((1500-1150)/(C17-G17)))+(G17-(1150*(C17-G17)/(1500-1150)))</f>
        <v>107142.857142857</v>
      </c>
      <c r="F17" s="9" t="n">
        <v>119507</v>
      </c>
      <c r="G17" s="9"/>
      <c r="H17" s="9"/>
    </row>
    <row r="18" customFormat="false" ht="12.75" hidden="false" customHeight="false" outlineLevel="0" collapsed="false">
      <c r="A18" s="5" t="s">
        <v>23</v>
      </c>
      <c r="B18" s="5"/>
      <c r="C18" s="6" t="n">
        <v>160000</v>
      </c>
      <c r="D18" s="7" t="n">
        <f aca="false">(1400/((1500-1150)/(C18-G18)))+(G18-(1150*(C18-G18)/(1500-1150)))</f>
        <v>114285.714285714</v>
      </c>
      <c r="E18" s="8" t="n">
        <f aca="false">(1300/((1500-1150)/(C18-G18)))+(G18-(1150*(C18-G18)/(1500-1150)))</f>
        <v>68571.4285714285</v>
      </c>
      <c r="F18" s="9" t="n">
        <v>111764</v>
      </c>
      <c r="G18" s="9"/>
      <c r="H18" s="9"/>
    </row>
    <row r="19" customFormat="false" ht="12.75" hidden="false" customHeight="false" outlineLevel="0" collapsed="false">
      <c r="A19" s="5" t="s">
        <v>24</v>
      </c>
      <c r="B19" s="5"/>
      <c r="C19" s="6" t="n">
        <v>530000</v>
      </c>
      <c r="D19" s="7" t="n">
        <f aca="false">(1400/((1500-1150)/(C19-G19)))+(G19-(1150*(C19-G19)/(1500-1150)))</f>
        <v>378571.428571429</v>
      </c>
      <c r="E19" s="8" t="n">
        <f aca="false">(1300/((1500-1150)/(C19-G19)))+(G19-(1150*(C19-G19)/(1500-1150)))</f>
        <v>227142.857142857</v>
      </c>
      <c r="F19" s="9" t="n">
        <v>167238</v>
      </c>
      <c r="G19" s="9"/>
      <c r="H19" s="9"/>
    </row>
    <row r="20" customFormat="false" ht="12.75" hidden="false" customHeight="false" outlineLevel="0" collapsed="false">
      <c r="A20" s="5" t="s">
        <v>25</v>
      </c>
      <c r="B20" s="5"/>
      <c r="C20" s="6" t="n">
        <v>800000</v>
      </c>
      <c r="D20" s="7" t="n">
        <f aca="false">(1400/((1500-1150)/(C20-G20)))+(G20-(1150*(C20-G20)/(1500-1150)))</f>
        <v>571428.571428571</v>
      </c>
      <c r="E20" s="8" t="n">
        <f aca="false">(1300/((1500-1150)/(C20-G20)))+(G20-(1150*(C20-G20)/(1500-1150)))</f>
        <v>342857.142857143</v>
      </c>
      <c r="F20" s="9" t="n">
        <v>92973</v>
      </c>
      <c r="G20" s="9"/>
      <c r="H20" s="9"/>
    </row>
    <row r="21" customFormat="false" ht="12.75" hidden="false" customHeight="false" outlineLevel="0" collapsed="false">
      <c r="A21" s="5" t="s">
        <v>26</v>
      </c>
      <c r="B21" s="5"/>
      <c r="C21" s="6" t="n">
        <v>340000</v>
      </c>
      <c r="D21" s="7" t="n">
        <f aca="false">(1400/((1500-1150)/(C21-G21)))+(G21-(1150*(C21-G21)/(1500-1150)))</f>
        <v>242857.142857143</v>
      </c>
      <c r="E21" s="8" t="n">
        <f aca="false">(1300/((1500-1150)/(C21-G21)))+(G21-(1150*(C21-G21)/(1500-1150)))</f>
        <v>145714.285714286</v>
      </c>
      <c r="F21" s="9" t="n">
        <v>105552</v>
      </c>
      <c r="G21" s="9"/>
      <c r="H21" s="9"/>
    </row>
    <row r="22" customFormat="false" ht="12.75" hidden="false" customHeight="false" outlineLevel="0" collapsed="false">
      <c r="A22" s="5" t="s">
        <v>27</v>
      </c>
      <c r="B22" s="5"/>
      <c r="C22" s="6" t="n">
        <v>200000</v>
      </c>
      <c r="D22" s="7" t="n">
        <f aca="false">(1400/((1500-1150)/(C22-G22)))+(G22-(1150*(C22-G22)/(1500-1150)))</f>
        <v>142857.142857143</v>
      </c>
      <c r="E22" s="8" t="n">
        <f aca="false">(1300/((1500-1150)/(C22-G22)))+(G22-(1150*(C22-G22)/(1500-1150)))</f>
        <v>85714.2857142857</v>
      </c>
      <c r="F22" s="9" t="n">
        <v>50273</v>
      </c>
      <c r="G22" s="9"/>
      <c r="H22" s="9"/>
    </row>
    <row r="23" customFormat="false" ht="12.75" hidden="false" customHeight="false" outlineLevel="0" collapsed="false">
      <c r="A23" s="5" t="s">
        <v>28</v>
      </c>
      <c r="B23" s="5" t="n">
        <v>25</v>
      </c>
      <c r="C23" s="6" t="n">
        <v>36500</v>
      </c>
      <c r="D23" s="7" t="n">
        <f aca="false">(1400/((1500-1150)/(C23-G23)))+(G23-(1150*(C23-G23)/(1500-1150)))</f>
        <v>31940.8571428571</v>
      </c>
      <c r="E23" s="8" t="n">
        <f aca="false">(1300/((1500-1150)/(C23-G23)))+(G23-(1150*(C23-G23)/(1500-1150)))</f>
        <v>27381.7142857143</v>
      </c>
      <c r="F23" s="9" t="n">
        <v>23967</v>
      </c>
      <c r="G23" s="9" t="n">
        <v>20543</v>
      </c>
      <c r="H23" s="9" t="n">
        <v>13695</v>
      </c>
    </row>
    <row r="24" customFormat="false" ht="12.75" hidden="false" customHeight="false" outlineLevel="0" collapsed="false">
      <c r="A24" s="5" t="s">
        <v>29</v>
      </c>
      <c r="B24" s="5"/>
      <c r="C24" s="6" t="n">
        <v>40000</v>
      </c>
      <c r="D24" s="7" t="n">
        <f aca="false">(1400/((1500-1150)/(C24-G24)))+(G24-(1150*(C24-G24)/(1500-1150)))</f>
        <v>28571.4285714286</v>
      </c>
      <c r="E24" s="8" t="n">
        <f aca="false">(1300/((1500-1150)/(C24-G24)))+(G24-(1150*(C24-G24)/(1500-1150)))</f>
        <v>17142.8571428571</v>
      </c>
      <c r="F24" s="9" t="n">
        <v>21554</v>
      </c>
      <c r="G24" s="9"/>
      <c r="H24" s="9"/>
    </row>
    <row r="25" customFormat="false" ht="12.75" hidden="false" customHeight="false" outlineLevel="0" collapsed="false">
      <c r="A25" s="5" t="s">
        <v>30</v>
      </c>
      <c r="B25" s="5"/>
      <c r="C25" s="6" t="n">
        <v>103000</v>
      </c>
      <c r="D25" s="7" t="n">
        <f aca="false">(1400/((1500-1150)/(C25-G25)))+(G25-(1150*(C25-G25)/(1500-1150)))</f>
        <v>73571.4285714286</v>
      </c>
      <c r="E25" s="8" t="n">
        <f aca="false">(1300/((1500-1150)/(C25-G25)))+(G25-(1150*(C25-G25)/(1500-1150)))</f>
        <v>44142.8571428572</v>
      </c>
      <c r="F25" s="9" t="n">
        <v>49887</v>
      </c>
      <c r="G25" s="9"/>
      <c r="H25" s="9"/>
    </row>
    <row r="26" customFormat="false" ht="12.75" hidden="false" customHeight="false" outlineLevel="0" collapsed="false">
      <c r="A26" s="5" t="s">
        <v>31</v>
      </c>
      <c r="B26" s="5"/>
      <c r="C26" s="6" t="n">
        <v>24500</v>
      </c>
      <c r="D26" s="7" t="n">
        <f aca="false">(1400/((1500-1150)/(C26-G26)))+(G26-(1150*(C26-G26)/(1500-1150)))</f>
        <v>17500</v>
      </c>
      <c r="E26" s="8" t="n">
        <f aca="false">(1300/((1500-1150)/(C26-G26)))+(G26-(1150*(C26-G26)/(1500-1150)))</f>
        <v>10500</v>
      </c>
      <c r="F26" s="9" t="n">
        <v>21092</v>
      </c>
      <c r="G26" s="9"/>
      <c r="H26" s="9"/>
    </row>
    <row r="27" customFormat="false" ht="12.75" hidden="false" customHeight="false" outlineLevel="0" collapsed="false">
      <c r="A27" s="5" t="s">
        <v>32</v>
      </c>
      <c r="B27" s="5"/>
      <c r="C27" s="6" t="n">
        <v>600000</v>
      </c>
      <c r="D27" s="7" t="n">
        <f aca="false">(1400/((1500-1150)/(C27-G27)))+(G27-(1150*(C27-G27)/(1500-1150)))</f>
        <v>428571.428571429</v>
      </c>
      <c r="E27" s="8" t="n">
        <f aca="false">(1300/((1500-1150)/(C27-G27)))+(G27-(1150*(C27-G27)/(1500-1150)))</f>
        <v>257142.857142857</v>
      </c>
      <c r="F27" s="9" t="n">
        <v>61278</v>
      </c>
      <c r="G27" s="9"/>
      <c r="H27" s="9"/>
    </row>
    <row r="28" customFormat="false" ht="17.9" hidden="false" customHeight="false" outlineLevel="0" collapsed="false">
      <c r="A28" s="5" t="s">
        <v>33</v>
      </c>
      <c r="B28" s="5" t="n">
        <v>7</v>
      </c>
      <c r="C28" s="6" t="n">
        <v>70000</v>
      </c>
      <c r="D28" s="7" t="n">
        <f aca="false">(1400/((1500-1150)/(C28-G28)))+(G28-(1150*(C28-G28)/(1500-1150)))</f>
        <v>58251.7142857143</v>
      </c>
      <c r="E28" s="8" t="n">
        <f aca="false">(1300/((1500-1150)/(C28-G28)))+(G28-(1150*(C28-G28)/(1500-1150)))</f>
        <v>46503.4285714286</v>
      </c>
      <c r="F28" s="9" t="n">
        <v>34898</v>
      </c>
      <c r="G28" s="9" t="n">
        <v>28881</v>
      </c>
      <c r="H28" s="9" t="n">
        <v>16847</v>
      </c>
    </row>
    <row r="29" customFormat="false" ht="12.75" hidden="false" customHeight="false" outlineLevel="0" collapsed="false">
      <c r="A29" s="5" t="s">
        <v>34</v>
      </c>
      <c r="B29" s="5"/>
      <c r="C29" s="6" t="n">
        <v>13500</v>
      </c>
      <c r="D29" s="7" t="n">
        <f aca="false">(1400/((1500-1150)/(C29-G29)))+(G29-(1150*(C29-G29)/(1500-1150)))</f>
        <v>9642.85714285715</v>
      </c>
      <c r="E29" s="8" t="n">
        <f aca="false">(1300/((1500-1150)/(C29-G29)))+(G29-(1150*(C29-G29)/(1500-1150)))</f>
        <v>5785.71428571429</v>
      </c>
      <c r="F29" s="9" t="n">
        <v>10845</v>
      </c>
      <c r="G29" s="9"/>
      <c r="H29" s="9"/>
    </row>
    <row r="30" customFormat="false" ht="12.75" hidden="false" customHeight="false" outlineLevel="0" collapsed="false">
      <c r="A30" s="5" t="s">
        <v>35</v>
      </c>
      <c r="B30" s="5" t="n">
        <v>3</v>
      </c>
      <c r="C30" s="6" t="n">
        <v>270000</v>
      </c>
      <c r="D30" s="7" t="n">
        <f aca="false">(1400/((1500-1150)/(C30-G30)))+(G30-(1150*(C30-G30)/(1500-1150)))</f>
        <v>207391.428571429</v>
      </c>
      <c r="E30" s="8" t="n">
        <f aca="false">(1300/((1500-1150)/(C30-G30)))+(G30-(1150*(C30-G30)/(1500-1150)))</f>
        <v>144782.857142857</v>
      </c>
      <c r="F30" s="9" t="n">
        <v>66766</v>
      </c>
      <c r="G30" s="9" t="n">
        <v>50870</v>
      </c>
      <c r="H30" s="9" t="n">
        <v>19076</v>
      </c>
    </row>
    <row r="31" customFormat="false" ht="12.75" hidden="false" customHeight="false" outlineLevel="0" collapsed="false">
      <c r="A31" s="5" t="s">
        <v>36</v>
      </c>
      <c r="B31" s="5"/>
      <c r="C31" s="6" t="n">
        <v>280000</v>
      </c>
      <c r="D31" s="7" t="n">
        <f aca="false">(1400/((1500-1150)/(C31-G31)))+(G31-(1150*(C31-G31)/(1500-1150)))</f>
        <v>200000</v>
      </c>
      <c r="E31" s="8" t="n">
        <f aca="false">(1300/((1500-1150)/(C31-G31)))+(G31-(1150*(C31-G31)/(1500-1150)))</f>
        <v>120000</v>
      </c>
      <c r="F31" s="9" t="n">
        <v>96848</v>
      </c>
      <c r="G31" s="9"/>
      <c r="H31" s="9"/>
    </row>
    <row r="32" customFormat="false" ht="12.75" hidden="false" customHeight="false" outlineLevel="0" collapsed="false">
      <c r="A32" s="5" t="s">
        <v>37</v>
      </c>
      <c r="B32" s="5"/>
      <c r="C32" s="6" t="n">
        <v>23000</v>
      </c>
      <c r="D32" s="7" t="n">
        <f aca="false">(1400/((1500-1150)/(C32-G32)))+(G32-(1150*(C32-G32)/(1500-1150)))</f>
        <v>16428.5714285714</v>
      </c>
      <c r="E32" s="8" t="n">
        <f aca="false">(1300/((1500-1150)/(C32-G32)))+(G32-(1150*(C32-G32)/(1500-1150)))</f>
        <v>9857.14285714286</v>
      </c>
      <c r="F32" s="9" t="n">
        <v>12745</v>
      </c>
      <c r="G32" s="9"/>
      <c r="H32" s="9"/>
    </row>
    <row r="33" customFormat="false" ht="12.75" hidden="false" customHeight="false" outlineLevel="0" collapsed="false">
      <c r="A33" s="5" t="s">
        <v>38</v>
      </c>
      <c r="B33" s="5" t="n">
        <v>4</v>
      </c>
      <c r="C33" s="6" t="n">
        <v>118000</v>
      </c>
      <c r="D33" s="7" t="n">
        <f aca="false">(1400/((1500-1150)/(C33-G33)))+(G33-(1150*(C33-G33)/(1500-1150)))</f>
        <v>89586.2857142857</v>
      </c>
      <c r="E33" s="8" t="n">
        <f aca="false">(1300/((1500-1150)/(C33-G33)))+(G33-(1150*(C33-G33)/(1500-1150)))</f>
        <v>61172.5714285715</v>
      </c>
      <c r="F33" s="9" t="n">
        <v>24350</v>
      </c>
      <c r="G33" s="9" t="n">
        <v>18552</v>
      </c>
      <c r="H33" s="9" t="n">
        <v>6957</v>
      </c>
    </row>
    <row r="34" customFormat="false" ht="12.75" hidden="false" customHeight="false" outlineLevel="0" collapsed="false">
      <c r="A34" s="5" t="s">
        <v>39</v>
      </c>
      <c r="B34" s="5"/>
      <c r="C34" s="6" t="n">
        <v>185000</v>
      </c>
      <c r="D34" s="7" t="n">
        <f aca="false">(1400/((1500-1150)/(C34-G34)))+(G34-(1150*(C34-G34)/(1500-1150)))</f>
        <v>132142.857142857</v>
      </c>
      <c r="E34" s="8" t="n">
        <f aca="false">(1300/((1500-1150)/(C34-G34)))+(G34-(1150*(C34-G34)/(1500-1150)))</f>
        <v>79285.7142857143</v>
      </c>
      <c r="F34" s="9" t="n">
        <v>111179</v>
      </c>
      <c r="G34" s="9"/>
      <c r="H34" s="9"/>
    </row>
    <row r="35" customFormat="false" ht="12.75" hidden="false" customHeight="false" outlineLevel="0" collapsed="false">
      <c r="A35" s="5" t="s">
        <v>40</v>
      </c>
      <c r="B35" s="5" t="n">
        <v>5</v>
      </c>
      <c r="C35" s="6" t="n">
        <v>59000</v>
      </c>
      <c r="D35" s="7" t="n">
        <f aca="false">(1400/((1500-1150)/(C35-G35)))+(G35-(1150*(C35-G35)/(1500-1150)))</f>
        <v>49085.7142857143</v>
      </c>
      <c r="E35" s="8" t="n">
        <f aca="false">(1300/((1500-1150)/(C35-G35)))+(G35-(1150*(C35-G35)/(1500-1150)))</f>
        <v>39171.4285714286</v>
      </c>
      <c r="F35" s="9" t="n">
        <v>30375</v>
      </c>
      <c r="G35" s="9" t="n">
        <v>24300</v>
      </c>
      <c r="H35" s="9" t="n">
        <v>12150</v>
      </c>
    </row>
    <row r="36" customFormat="false" ht="12.75" hidden="false" customHeight="false" outlineLevel="0" collapsed="false">
      <c r="A36" s="5" t="s">
        <v>41</v>
      </c>
      <c r="B36" s="5"/>
      <c r="C36" s="6" t="n">
        <v>74000</v>
      </c>
      <c r="D36" s="7" t="n">
        <f aca="false">(1400/((1500-1150)/(C36-G36)))+(G36-(1150*(C36-G36)/(1500-1150)))</f>
        <v>52857.1428571429</v>
      </c>
      <c r="E36" s="8" t="n">
        <f aca="false">(1300/((1500-1150)/(C36-G36)))+(G36-(1150*(C36-G36)/(1500-1150)))</f>
        <v>31714.2857142857</v>
      </c>
      <c r="F36" s="9" t="n">
        <v>36096</v>
      </c>
      <c r="G36" s="9"/>
      <c r="H36" s="9"/>
    </row>
    <row r="37" customFormat="false" ht="12.75" hidden="false" customHeight="false" outlineLevel="0" collapsed="false">
      <c r="A37" s="5" t="s">
        <v>42</v>
      </c>
      <c r="B37" s="5"/>
      <c r="C37" s="6" t="n">
        <v>350000</v>
      </c>
      <c r="D37" s="7" t="n">
        <f aca="false">(1400/((1500-1150)/(C37-G37)))+(G37-(1150*(C37-G37)/(1500-1150)))</f>
        <v>250000</v>
      </c>
      <c r="E37" s="8" t="n">
        <f aca="false">(1300/((1500-1150)/(C37-G37)))+(G37-(1150*(C37-G37)/(1500-1150)))</f>
        <v>150000</v>
      </c>
      <c r="F37" s="9" t="n">
        <v>74800</v>
      </c>
      <c r="G37" s="9"/>
      <c r="H37" s="9"/>
    </row>
    <row r="38" customFormat="false" ht="12.75" hidden="false" customHeight="false" outlineLevel="0" collapsed="false">
      <c r="A38" s="5" t="s">
        <v>43</v>
      </c>
      <c r="B38" s="5"/>
      <c r="C38" s="6" t="n">
        <v>100000</v>
      </c>
      <c r="D38" s="7" t="n">
        <f aca="false">(1400/((1500-1150)/(C38-G38)))+(G38-(1150*(C38-G38)/(1500-1150)))</f>
        <v>71428.5714285714</v>
      </c>
      <c r="E38" s="8" t="n">
        <f aca="false">(1300/((1500-1150)/(C38-G38)))+(G38-(1150*(C38-G38)/(1500-1150)))</f>
        <v>42857.1428571428</v>
      </c>
      <c r="F38" s="9" t="n">
        <v>41220</v>
      </c>
      <c r="G38" s="9"/>
      <c r="H38" s="9"/>
    </row>
    <row r="39" customFormat="false" ht="12.75" hidden="false" customHeight="false" outlineLevel="0" collapsed="false">
      <c r="A39" s="5" t="s">
        <v>44</v>
      </c>
      <c r="B39" s="5" t="n">
        <v>52</v>
      </c>
      <c r="C39" s="6" t="n">
        <v>400000</v>
      </c>
      <c r="D39" s="7" t="n">
        <f aca="false">(1400/((1500-1150)/(C39-G39)))+(G39-(1150*(C39-G39)/(1500-1150)))</f>
        <v>351471.714285714</v>
      </c>
      <c r="E39" s="8" t="n">
        <f aca="false">(1300/((1500-1150)/(C39-G39)))+(G39-(1150*(C39-G39)/(1500-1150)))</f>
        <v>302943.428571429</v>
      </c>
      <c r="F39" s="9" t="n">
        <v>266112</v>
      </c>
      <c r="G39" s="9" t="n">
        <v>230151</v>
      </c>
      <c r="H39" s="9" t="n">
        <v>158229</v>
      </c>
    </row>
    <row r="40" customFormat="false" ht="12.75" hidden="false" customHeight="false" outlineLevel="0" collapsed="false">
      <c r="A40" s="5" t="s">
        <v>45</v>
      </c>
      <c r="B40" s="5"/>
      <c r="C40" s="6" t="n">
        <v>82500</v>
      </c>
      <c r="D40" s="7" t="n">
        <f aca="false">(1400/((1500-1150)/(C40-G40)))+(G40-(1150*(C40-G40)/(1500-1150)))</f>
        <v>58928.5714285714</v>
      </c>
      <c r="E40" s="8" t="n">
        <f aca="false">(1300/((1500-1150)/(C40-G40)))+(G40-(1150*(C40-G40)/(1500-1150)))</f>
        <v>35357.1428571428</v>
      </c>
      <c r="F40" s="9" t="n">
        <v>59061</v>
      </c>
      <c r="G40" s="9"/>
      <c r="H40" s="9"/>
    </row>
    <row r="41" customFormat="false" ht="12.75" hidden="false" customHeight="false" outlineLevel="0" collapsed="false">
      <c r="A41" s="5" t="s">
        <v>46</v>
      </c>
      <c r="B41" s="5" t="n">
        <v>17</v>
      </c>
      <c r="C41" s="6" t="n">
        <v>95000</v>
      </c>
      <c r="D41" s="7" t="n">
        <f aca="false">(1400/((1500-1150)/(C41-G41)))+(G41-(1150*(C41-G41)/(1500-1150)))</f>
        <v>78664.8571428572</v>
      </c>
      <c r="E41" s="8" t="n">
        <f aca="false">(1300/((1500-1150)/(C41-G41)))+(G41-(1150*(C41-G41)/(1500-1150)))</f>
        <v>62329.7142857143</v>
      </c>
      <c r="F41" s="9" t="n">
        <v>50436</v>
      </c>
      <c r="G41" s="9" t="n">
        <v>37827</v>
      </c>
      <c r="H41" s="9" t="n">
        <v>12609</v>
      </c>
    </row>
    <row r="42" customFormat="false" ht="12.75" hidden="false" customHeight="false" outlineLevel="0" collapsed="false">
      <c r="A42" s="5" t="s">
        <v>47</v>
      </c>
      <c r="B42" s="5"/>
      <c r="C42" s="6" t="n">
        <v>300000</v>
      </c>
      <c r="D42" s="7" t="n">
        <f aca="false">(1400/((1500-1150)/(C42-G42)))+(G42-(1150*(C42-G42)/(1500-1150)))</f>
        <v>214285.714285714</v>
      </c>
      <c r="E42" s="8" t="n">
        <f aca="false">(1300/((1500-1150)/(C42-G42)))+(G42-(1150*(C42-G42)/(1500-1150)))</f>
        <v>128571.428571428</v>
      </c>
      <c r="F42" s="9" t="n">
        <v>64444</v>
      </c>
      <c r="G42" s="9"/>
      <c r="H42" s="9"/>
    </row>
    <row r="43" customFormat="false" ht="12.75" hidden="false" customHeight="false" outlineLevel="0" collapsed="false">
      <c r="A43" s="5" t="s">
        <v>48</v>
      </c>
      <c r="B43" s="5"/>
      <c r="C43" s="6" t="n">
        <v>175000</v>
      </c>
      <c r="D43" s="7" t="n">
        <f aca="false">(1400/((1500-1150)/(C43-G43)))+(G43-(1150*(C43-G43)/(1500-1150)))</f>
        <v>125000</v>
      </c>
      <c r="E43" s="8" t="n">
        <f aca="false">(1300/((1500-1150)/(C43-G43)))+(G43-(1150*(C43-G43)/(1500-1150)))</f>
        <v>75000</v>
      </c>
      <c r="F43" s="9" t="n">
        <v>57893</v>
      </c>
      <c r="G43" s="9"/>
      <c r="H43" s="9"/>
    </row>
    <row r="44" customFormat="false" ht="12.75" hidden="false" customHeight="false" outlineLevel="0" collapsed="false">
      <c r="A44" s="5" t="s">
        <v>49</v>
      </c>
      <c r="B44" s="5"/>
      <c r="C44" s="6" t="n">
        <v>452000</v>
      </c>
      <c r="D44" s="7" t="n">
        <f aca="false">(1400/((1500-1150)/(C44-G44)))+(G44-(1150*(C44-G44)/(1500-1150)))</f>
        <v>322857.142857143</v>
      </c>
      <c r="E44" s="8" t="n">
        <f aca="false">(1300/((1500-1150)/(C44-G44)))+(G44-(1150*(C44-G44)/(1500-1150)))</f>
        <v>193714.285714286</v>
      </c>
      <c r="F44" s="9" t="n">
        <v>234739</v>
      </c>
      <c r="G44" s="9"/>
      <c r="H44" s="9"/>
    </row>
    <row r="45" customFormat="false" ht="12.75" hidden="false" customHeight="false" outlineLevel="0" collapsed="false">
      <c r="A45" s="5" t="s">
        <v>50</v>
      </c>
      <c r="B45" s="5"/>
      <c r="C45" s="6" t="n">
        <v>70000</v>
      </c>
      <c r="D45" s="7" t="n">
        <f aca="false">(1400/((1500-1150)/(C45-G45)))+(G45-(1150*(C45-G45)/(1500-1150)))</f>
        <v>50000</v>
      </c>
      <c r="E45" s="8" t="n">
        <f aca="false">(1300/((1500-1150)/(C45-G45)))+(G45-(1150*(C45-G45)/(1500-1150)))</f>
        <v>30000</v>
      </c>
      <c r="F45" s="9" t="n">
        <v>29370</v>
      </c>
      <c r="G45" s="9"/>
      <c r="H45" s="9"/>
    </row>
    <row r="46" customFormat="false" ht="12.75" hidden="false" customHeight="false" outlineLevel="0" collapsed="false">
      <c r="A46" s="5" t="s">
        <v>51</v>
      </c>
      <c r="B46" s="5"/>
      <c r="C46" s="6" t="n">
        <v>505000</v>
      </c>
      <c r="D46" s="7" t="n">
        <f aca="false">(1400/((1500-1150)/(C46-G46)))+(G46-(1150*(C46-G46)/(1500-1150)))</f>
        <v>360714.285714286</v>
      </c>
      <c r="E46" s="8" t="n">
        <f aca="false">(1300/((1500-1150)/(C46-G46)))+(G46-(1150*(C46-G46)/(1500-1150)))</f>
        <v>216428.571428572</v>
      </c>
      <c r="F46" s="9" t="n">
        <v>383822</v>
      </c>
      <c r="G46" s="9"/>
      <c r="H46" s="9"/>
    </row>
    <row r="47" customFormat="false" ht="12.75" hidden="false" customHeight="false" outlineLevel="0" collapsed="false">
      <c r="A47" s="5" t="s">
        <v>52</v>
      </c>
      <c r="B47" s="5"/>
      <c r="C47" s="6" t="n">
        <v>117250</v>
      </c>
      <c r="D47" s="7" t="n">
        <f aca="false">(1400/((1500-1150)/(C47-G47)))+(G47-(1150*(C47-G47)/(1500-1150)))</f>
        <v>83750</v>
      </c>
      <c r="E47" s="8" t="n">
        <f aca="false">(1300/((1500-1150)/(C47-G47)))+(G47-(1150*(C47-G47)/(1500-1150)))</f>
        <v>50250</v>
      </c>
      <c r="F47" s="9" t="n">
        <v>74068</v>
      </c>
      <c r="G47" s="9"/>
      <c r="H47" s="9"/>
    </row>
    <row r="48" customFormat="false" ht="12.75" hidden="false" customHeight="false" outlineLevel="0" collapsed="false">
      <c r="A48" s="5" t="s">
        <v>53</v>
      </c>
      <c r="B48" s="5" t="n">
        <v>51</v>
      </c>
      <c r="C48" s="6" t="n">
        <v>170000</v>
      </c>
      <c r="D48" s="7" t="n">
        <f aca="false">(1400/((1500-1150)/(C48-G48)))+(G48-(1150*(C48-G48)/(1500-1150)))</f>
        <v>151617.428571429</v>
      </c>
      <c r="E48" s="8" t="n">
        <f aca="false">(1300/((1500-1150)/(C48-G48)))+(G48-(1150*(C48-G48)/(1500-1150)))</f>
        <v>133234.857142857</v>
      </c>
      <c r="F48" s="9" t="n">
        <v>119563</v>
      </c>
      <c r="G48" s="9" t="n">
        <v>105661</v>
      </c>
      <c r="H48" s="9" t="n">
        <v>77855</v>
      </c>
    </row>
    <row r="49" customFormat="false" ht="12.75" hidden="false" customHeight="false" outlineLevel="0" collapsed="false">
      <c r="A49" s="5" t="s">
        <v>54</v>
      </c>
      <c r="B49" s="5"/>
      <c r="C49" s="6" t="n">
        <v>750000</v>
      </c>
      <c r="D49" s="7" t="n">
        <f aca="false">(1400/((1500-1150)/(C49-G49)))+(G49-(1150*(C49-G49)/(1500-1150)))</f>
        <v>535714.285714286</v>
      </c>
      <c r="E49" s="8" t="n">
        <f aca="false">(1300/((1500-1150)/(C49-G49)))+(G49-(1150*(C49-G49)/(1500-1150)))</f>
        <v>321428.571428572</v>
      </c>
      <c r="F49" s="9" t="n">
        <v>132917</v>
      </c>
      <c r="G49" s="9"/>
      <c r="H49" s="9"/>
    </row>
    <row r="50" customFormat="false" ht="12.75" hidden="false" customHeight="false" outlineLevel="0" collapsed="false">
      <c r="A50" s="5" t="s">
        <v>55</v>
      </c>
      <c r="B50" s="5"/>
      <c r="C50" s="6" t="n">
        <v>160000</v>
      </c>
      <c r="D50" s="7" t="n">
        <f aca="false">(1400/((1500-1150)/(C50-G50)))+(G50-(1150*(C50-G50)/(1500-1150)))</f>
        <v>114285.714285714</v>
      </c>
      <c r="E50" s="8" t="n">
        <f aca="false">(1300/((1500-1150)/(C50-G50)))+(G50-(1150*(C50-G50)/(1500-1150)))</f>
        <v>68571.4285714285</v>
      </c>
      <c r="F50" s="9" t="n">
        <v>57330</v>
      </c>
      <c r="G50" s="9"/>
      <c r="H50" s="9"/>
    </row>
    <row r="51" customFormat="false" ht="12.75" hidden="false" customHeight="false" outlineLevel="0" collapsed="false">
      <c r="A51" s="5" t="s">
        <v>56</v>
      </c>
      <c r="B51" s="5"/>
      <c r="C51" s="6" t="n">
        <v>278000</v>
      </c>
      <c r="D51" s="7" t="n">
        <f aca="false">(1400/((1500-1150)/(C51-G51)))+(G51-(1150*(C51-G51)/(1500-1150)))</f>
        <v>198571.428571429</v>
      </c>
      <c r="E51" s="8" t="n">
        <f aca="false">(1300/((1500-1150)/(C51-G51)))+(G51-(1150*(C51-G51)/(1500-1150)))</f>
        <v>119142.857142857</v>
      </c>
      <c r="F51" s="9" t="n">
        <v>47322</v>
      </c>
      <c r="G51" s="9"/>
      <c r="H51" s="9"/>
    </row>
    <row r="52" customFormat="false" ht="12.75" hidden="false" customHeight="false" outlineLevel="0" collapsed="false">
      <c r="A52" s="5" t="s">
        <v>57</v>
      </c>
      <c r="B52" s="5"/>
      <c r="C52" s="6" t="n">
        <v>150000</v>
      </c>
      <c r="D52" s="7" t="n">
        <f aca="false">(1400/((1500-1150)/(C52-G52)))+(G52-(1150*(C52-G52)/(1500-1150)))</f>
        <v>107142.857142857</v>
      </c>
      <c r="E52" s="8" t="n">
        <f aca="false">(1300/((1500-1150)/(C52-G52)))+(G52-(1150*(C52-G52)/(1500-1150)))</f>
        <v>64285.7142857142</v>
      </c>
      <c r="F52" s="9" t="n">
        <v>78473</v>
      </c>
      <c r="G52" s="9"/>
      <c r="H52" s="9"/>
    </row>
    <row r="53" customFormat="false" ht="12.75" hidden="false" customHeight="false" outlineLevel="0" collapsed="false">
      <c r="A53" s="5" t="s">
        <v>58</v>
      </c>
      <c r="B53" s="5"/>
      <c r="C53" s="6" t="n">
        <v>48000</v>
      </c>
      <c r="D53" s="7" t="n">
        <f aca="false">(1400/((1500-1150)/(C53-G53)))+(G53-(1150*(C53-G53)/(1500-1150)))</f>
        <v>34285.7142857143</v>
      </c>
      <c r="E53" s="8" t="n">
        <f aca="false">(1300/((1500-1150)/(C53-G53)))+(G53-(1150*(C53-G53)/(1500-1150)))</f>
        <v>20571.4285714286</v>
      </c>
      <c r="F53" s="9" t="n">
        <v>30000</v>
      </c>
      <c r="G53" s="9"/>
      <c r="H53" s="9"/>
    </row>
    <row r="54" customFormat="false" ht="12.75" hidden="false" customHeight="false" outlineLevel="0" collapsed="false">
      <c r="A54" s="5" t="s">
        <v>59</v>
      </c>
      <c r="B54" s="5" t="n">
        <v>8</v>
      </c>
      <c r="C54" s="6" t="n">
        <v>90000</v>
      </c>
      <c r="D54" s="7" t="n">
        <f aca="false">(1400/((1500-1150)/(C54-G54)))+(G54-(1150*(C54-G54)/(1500-1150)))</f>
        <v>73213.4285714286</v>
      </c>
      <c r="E54" s="8" t="n">
        <f aca="false">(1300/((1500-1150)/(C54-G54)))+(G54-(1150*(C54-G54)/(1500-1150)))</f>
        <v>56426.8571428572</v>
      </c>
      <c r="F54" s="9" t="n">
        <v>39470</v>
      </c>
      <c r="G54" s="9" t="n">
        <v>31247</v>
      </c>
      <c r="H54" s="9" t="n">
        <v>14801</v>
      </c>
    </row>
    <row r="55" customFormat="false" ht="12.75" hidden="false" customHeight="false" outlineLevel="0" collapsed="false">
      <c r="A55" s="5" t="s">
        <v>60</v>
      </c>
      <c r="B55" s="5"/>
      <c r="C55" s="6" t="n">
        <v>53000</v>
      </c>
      <c r="D55" s="7" t="n">
        <f aca="false">(1400/((1500-1150)/(C55-G55)))+(G55-(1150*(C55-G55)/(1500-1150)))</f>
        <v>37857.1428571429</v>
      </c>
      <c r="E55" s="8" t="n">
        <f aca="false">(1300/((1500-1150)/(C55-G55)))+(G55-(1150*(C55-G55)/(1500-1150)))</f>
        <v>22714.2857142857</v>
      </c>
      <c r="F55" s="9" t="n">
        <v>27928</v>
      </c>
      <c r="G55" s="9"/>
      <c r="H55" s="9"/>
    </row>
    <row r="56" customFormat="false" ht="12.75" hidden="false" customHeight="false" outlineLevel="0" collapsed="false">
      <c r="A56" s="5" t="s">
        <v>61</v>
      </c>
      <c r="B56" s="5" t="n">
        <v>39</v>
      </c>
      <c r="C56" s="6" t="n">
        <v>300000</v>
      </c>
      <c r="D56" s="7" t="n">
        <f aca="false">(1400/((1500-1150)/(C56-G56)))+(G56-(1150*(C56-G56)/(1500-1150)))</f>
        <v>237120</v>
      </c>
      <c r="E56" s="8" t="n">
        <f aca="false">(1300/((1500-1150)/(C56-G56)))+(G56-(1150*(C56-G56)/(1500-1150)))</f>
        <v>174240</v>
      </c>
      <c r="F56" s="9" t="n">
        <v>110658</v>
      </c>
      <c r="G56" s="9" t="n">
        <v>79920</v>
      </c>
      <c r="H56" s="9" t="n">
        <v>18443</v>
      </c>
    </row>
    <row r="57" customFormat="false" ht="12.75" hidden="false" customHeight="false" outlineLevel="0" collapsed="false">
      <c r="A57" s="5" t="s">
        <v>62</v>
      </c>
      <c r="B57" s="5"/>
      <c r="C57" s="6" t="n">
        <v>361000</v>
      </c>
      <c r="D57" s="7" t="n">
        <f aca="false">(1400/((1500-1150)/(C57-G57)))+(G57-(1150*(C57-G57)/(1500-1150)))</f>
        <v>257857.142857143</v>
      </c>
      <c r="E57" s="8" t="n">
        <f aca="false">(1300/((1500-1150)/(C57-G57)))+(G57-(1150*(C57-G57)/(1500-1150)))</f>
        <v>154714.285714286</v>
      </c>
      <c r="F57" s="9" t="n">
        <v>106086</v>
      </c>
      <c r="G57" s="9"/>
      <c r="H57" s="9"/>
    </row>
    <row r="58" customFormat="false" ht="12.75" hidden="false" customHeight="false" outlineLevel="0" collapsed="false">
      <c r="A58" s="5" t="s">
        <v>63</v>
      </c>
      <c r="B58" s="5"/>
      <c r="C58" s="6" t="n">
        <v>96000</v>
      </c>
      <c r="D58" s="7" t="n">
        <f aca="false">(1400/((1500-1150)/(C58-G58)))+(G58-(1150*(C58-G58)/(1500-1150)))</f>
        <v>68571.4285714286</v>
      </c>
      <c r="E58" s="8" t="n">
        <f aca="false">(1300/((1500-1150)/(C58-G58)))+(G58-(1150*(C58-G58)/(1500-1150)))</f>
        <v>41142.8571428572</v>
      </c>
      <c r="F58" s="9" t="n">
        <v>50743</v>
      </c>
      <c r="G58" s="9"/>
      <c r="H58" s="9"/>
    </row>
    <row r="59" customFormat="false" ht="12.75" hidden="false" customHeight="false" outlineLevel="0" collapsed="false">
      <c r="A59" s="5" t="s">
        <v>64</v>
      </c>
      <c r="B59" s="5"/>
      <c r="C59" s="6" t="n">
        <v>41500</v>
      </c>
      <c r="D59" s="7" t="n">
        <f aca="false">(1400/((1500-1150)/(C59-G59)))+(G59-(1150*(C59-G59)/(1500-1150)))</f>
        <v>29642.8571428571</v>
      </c>
      <c r="E59" s="8" t="n">
        <f aca="false">(1300/((1500-1150)/(C59-G59)))+(G59-(1150*(C59-G59)/(1500-1150)))</f>
        <v>17785.7142857143</v>
      </c>
      <c r="F59" s="9" t="n">
        <v>31186</v>
      </c>
      <c r="G59" s="9"/>
      <c r="H59" s="9"/>
    </row>
    <row r="60" customFormat="false" ht="12.75" hidden="false" customHeight="false" outlineLevel="0" collapsed="false">
      <c r="A60" s="5" t="s">
        <v>65</v>
      </c>
      <c r="B60" s="5"/>
      <c r="C60" s="6" t="n">
        <v>70000</v>
      </c>
      <c r="D60" s="7" t="n">
        <f aca="false">(1400/((1500-1150)/(C60-G60)))+(G60-(1150*(C60-G60)/(1500-1150)))</f>
        <v>50000</v>
      </c>
      <c r="E60" s="8" t="n">
        <f aca="false">(1300/((1500-1150)/(C60-G60)))+(G60-(1150*(C60-G60)/(1500-1150)))</f>
        <v>30000</v>
      </c>
      <c r="F60" s="9" t="n">
        <v>50766</v>
      </c>
      <c r="G60" s="9"/>
      <c r="H60" s="9"/>
    </row>
    <row r="61" customFormat="false" ht="12.75" hidden="false" customHeight="false" outlineLevel="0" collapsed="false">
      <c r="A61" s="5" t="s">
        <v>66</v>
      </c>
      <c r="B61" s="5"/>
      <c r="C61" s="6" t="n">
        <v>154000</v>
      </c>
      <c r="D61" s="7" t="n">
        <f aca="false">(1400/((1500-1150)/(C61-G61)))+(G61-(1150*(C61-G61)/(1500-1150)))</f>
        <v>110000</v>
      </c>
      <c r="E61" s="8" t="n">
        <f aca="false">(1300/((1500-1150)/(C61-G61)))+(G61-(1150*(C61-G61)/(1500-1150)))</f>
        <v>66000</v>
      </c>
      <c r="F61" s="9" t="n">
        <v>57799</v>
      </c>
      <c r="G61" s="9"/>
      <c r="H61" s="9"/>
    </row>
    <row r="62" customFormat="false" ht="12.75" hidden="false" customHeight="false" outlineLevel="0" collapsed="false">
      <c r="A62" s="5" t="s">
        <v>67</v>
      </c>
      <c r="B62" s="5"/>
      <c r="C62" s="6" t="n">
        <v>156000</v>
      </c>
      <c r="D62" s="7" t="n">
        <f aca="false">(1400/((1500-1150)/(C62-G62)))+(G62-(1150*(C62-G62)/(1500-1150)))</f>
        <v>111428.571428571</v>
      </c>
      <c r="E62" s="8" t="n">
        <f aca="false">(1300/((1500-1150)/(C62-G62)))+(G62-(1150*(C62-G62)/(1500-1150)))</f>
        <v>66857.1428571429</v>
      </c>
      <c r="F62" s="9" t="n">
        <v>35183</v>
      </c>
      <c r="G62" s="9"/>
      <c r="H62" s="9"/>
    </row>
    <row r="63" customFormat="false" ht="12.75" hidden="false" customHeight="false" outlineLevel="0" collapsed="false">
      <c r="A63" s="5" t="s">
        <v>68</v>
      </c>
      <c r="B63" s="5"/>
      <c r="C63" s="6" t="n">
        <v>625000</v>
      </c>
      <c r="D63" s="7" t="n">
        <f aca="false">(1400/((1500-1150)/(C63-G63)))+(G63-(1150*(C63-G63)/(1500-1150)))</f>
        <v>446428.571428571</v>
      </c>
      <c r="E63" s="8" t="n">
        <f aca="false">(1300/((1500-1150)/(C63-G63)))+(G63-(1150*(C63-G63)/(1500-1150)))</f>
        <v>267857.142857143</v>
      </c>
      <c r="F63" s="9" t="n">
        <v>219885</v>
      </c>
      <c r="G63" s="9"/>
      <c r="H63" s="9"/>
    </row>
    <row r="64" customFormat="false" ht="12.75" hidden="false" customHeight="false" outlineLevel="0" collapsed="false">
      <c r="A64" s="5" t="s">
        <v>69</v>
      </c>
      <c r="B64" s="5"/>
      <c r="C64" s="6" t="n">
        <v>200000</v>
      </c>
      <c r="D64" s="7" t="n">
        <f aca="false">(1400/((1500-1150)/(C64-G64)))+(G64-(1150*(C64-G64)/(1500-1150)))</f>
        <v>142857.142857143</v>
      </c>
      <c r="E64" s="8" t="n">
        <f aca="false">(1300/((1500-1150)/(C64-G64)))+(G64-(1150*(C64-G64)/(1500-1150)))</f>
        <v>85714.2857142857</v>
      </c>
      <c r="F64" s="9" t="n">
        <v>100837</v>
      </c>
      <c r="G64" s="9"/>
      <c r="H64" s="9"/>
    </row>
    <row r="65" customFormat="false" ht="12.75" hidden="false" customHeight="false" outlineLevel="0" collapsed="false">
      <c r="A65" s="5" t="s">
        <v>70</v>
      </c>
      <c r="B65" s="5" t="n">
        <v>18</v>
      </c>
      <c r="C65" s="6" t="n">
        <v>230000</v>
      </c>
      <c r="D65" s="7" t="n">
        <f aca="false">(1400/((1500-1150)/(C65-G65)))+(G65-(1150*(C65-G65)/(1500-1150)))</f>
        <v>168766.857142857</v>
      </c>
      <c r="E65" s="8" t="n">
        <f aca="false">(1300/((1500-1150)/(C65-G65)))+(G65-(1150*(C65-G65)/(1500-1150)))</f>
        <v>107533.714285714</v>
      </c>
      <c r="F65" s="9" t="n">
        <v>20912</v>
      </c>
      <c r="G65" s="9" t="n">
        <v>15684</v>
      </c>
      <c r="H65" s="9" t="n">
        <v>5228</v>
      </c>
    </row>
    <row r="66" customFormat="false" ht="12.75" hidden="false" customHeight="false" outlineLevel="0" collapsed="false">
      <c r="A66" s="5" t="s">
        <v>71</v>
      </c>
      <c r="B66" s="5" t="n">
        <v>69</v>
      </c>
      <c r="C66" s="6" t="n">
        <v>105000</v>
      </c>
      <c r="D66" s="7" t="n">
        <f aca="false">(1400/((1500-1150)/(C66-G66)))+(G66-(1150*(C66-G66)/(1500-1150)))</f>
        <v>92076</v>
      </c>
      <c r="E66" s="8" t="n">
        <f aca="false">(1300/((1500-1150)/(C66-G66)))+(G66-(1150*(C66-G66)/(1500-1150)))</f>
        <v>79152</v>
      </c>
      <c r="F66" s="9" t="n">
        <v>69727</v>
      </c>
      <c r="G66" s="9" t="n">
        <v>59766</v>
      </c>
      <c r="H66" s="9" t="n">
        <v>39844</v>
      </c>
    </row>
    <row r="67" customFormat="false" ht="12.75" hidden="false" customHeight="false" outlineLevel="0" collapsed="false">
      <c r="A67" s="5" t="s">
        <v>72</v>
      </c>
      <c r="B67" s="5"/>
      <c r="C67" s="6" t="n">
        <v>1352000</v>
      </c>
      <c r="D67" s="7" t="n">
        <f aca="false">(1400/((1500-1150)/(C67-G67)))+(G67-(1150*(C67-G67)/(1500-1150)))</f>
        <v>965714.285714285</v>
      </c>
      <c r="E67" s="8" t="n">
        <f aca="false">(1300/((1500-1150)/(C67-G67)))+(G67-(1150*(C67-G67)/(1500-1150)))</f>
        <v>579428.571428571</v>
      </c>
      <c r="F67" s="9" t="n">
        <v>193847</v>
      </c>
      <c r="G67" s="9"/>
      <c r="H67" s="9"/>
    </row>
    <row r="68" customFormat="false" ht="12.75" hidden="false" customHeight="false" outlineLevel="0" collapsed="false">
      <c r="A68" s="5" t="s">
        <v>73</v>
      </c>
      <c r="B68" s="5"/>
      <c r="C68" s="6" t="n">
        <v>129000</v>
      </c>
      <c r="D68" s="7" t="n">
        <f aca="false">(1400/((1500-1150)/(C68-G68)))+(G68-(1150*(C68-G68)/(1500-1150)))</f>
        <v>92142.8571428572</v>
      </c>
      <c r="E68" s="8" t="n">
        <f aca="false">(1300/((1500-1150)/(C68-G68)))+(G68-(1150*(C68-G68)/(1500-1150)))</f>
        <v>55285.7142857143</v>
      </c>
      <c r="F68" s="9" t="n">
        <v>77007</v>
      </c>
      <c r="G68" s="9"/>
      <c r="H68" s="9"/>
    </row>
    <row r="69" customFormat="false" ht="12.75" hidden="false" customHeight="false" outlineLevel="0" collapsed="false">
      <c r="A69" s="5" t="s">
        <v>74</v>
      </c>
      <c r="B69" s="5"/>
      <c r="C69" s="6" t="n">
        <v>92000</v>
      </c>
      <c r="D69" s="7" t="n">
        <f aca="false">(1400/((1500-1150)/(C69-G69)))+(G69-(1150*(C69-G69)/(1500-1150)))</f>
        <v>65714.2857142857</v>
      </c>
      <c r="E69" s="8" t="n">
        <f aca="false">(1300/((1500-1150)/(C69-G69)))+(G69-(1150*(C69-G69)/(1500-1150)))</f>
        <v>39428.5714285714</v>
      </c>
      <c r="F69" s="9" t="n">
        <v>44524</v>
      </c>
      <c r="G69" s="9"/>
      <c r="H69" s="9"/>
    </row>
    <row r="70" customFormat="false" ht="12.75" hidden="false" customHeight="false" outlineLevel="0" collapsed="false">
      <c r="A70" s="5" t="s">
        <v>75</v>
      </c>
      <c r="B70" s="5" t="n">
        <v>68</v>
      </c>
      <c r="C70" s="6" t="n">
        <v>495000</v>
      </c>
      <c r="D70" s="7" t="n">
        <f aca="false">(1400/((1500-1150)/(C70-G70)))+(G70-(1150*(C70-G70)/(1500-1150)))</f>
        <v>386193.428571429</v>
      </c>
      <c r="E70" s="8" t="n">
        <f aca="false">(1300/((1500-1150)/(C70-G70)))+(G70-(1150*(C70-G70)/(1500-1150)))</f>
        <v>277386.857142857</v>
      </c>
      <c r="F70" s="9" t="n">
        <v>154954</v>
      </c>
      <c r="G70" s="9" t="n">
        <v>114177</v>
      </c>
      <c r="H70" s="9" t="n">
        <v>32622</v>
      </c>
    </row>
    <row r="71" customFormat="false" ht="12.75" hidden="false" customHeight="false" outlineLevel="0" collapsed="false">
      <c r="A71" s="5" t="s">
        <v>76</v>
      </c>
      <c r="B71" s="5"/>
      <c r="C71" s="6" t="n">
        <v>204000</v>
      </c>
      <c r="D71" s="7" t="n">
        <f aca="false">(1400/((1500-1150)/(C71-G71)))+(G71-(1150*(C71-G71)/(1500-1150)))</f>
        <v>145714.285714286</v>
      </c>
      <c r="E71" s="8" t="n">
        <f aca="false">(1300/((1500-1150)/(C71-G71)))+(G71-(1150*(C71-G71)/(1500-1150)))</f>
        <v>87428.5714285714</v>
      </c>
      <c r="F71" s="9" t="n">
        <v>79691</v>
      </c>
      <c r="G71" s="9"/>
      <c r="H71" s="9"/>
    </row>
    <row r="72" customFormat="false" ht="12.75" hidden="false" customHeight="false" outlineLevel="0" collapsed="false">
      <c r="A72" s="5" t="s">
        <v>77</v>
      </c>
      <c r="B72" s="5"/>
      <c r="C72" s="6" t="n">
        <v>15600</v>
      </c>
      <c r="D72" s="7" t="n">
        <f aca="false">(1400/((1500-1150)/(C72-G72)))+(G72-(1150*(C72-G72)/(1500-1150)))</f>
        <v>11142.8571428571</v>
      </c>
      <c r="E72" s="8" t="n">
        <f aca="false">(1300/((1500-1150)/(C72-G72)))+(G72-(1150*(C72-G72)/(1500-1150)))</f>
        <v>6685.71428571429</v>
      </c>
      <c r="F72" s="9" t="n">
        <v>13312</v>
      </c>
      <c r="G72" s="9"/>
      <c r="H72" s="9"/>
    </row>
    <row r="73" customFormat="false" ht="17.9" hidden="false" customHeight="false" outlineLevel="0" collapsed="false">
      <c r="A73" s="5" t="s">
        <v>78</v>
      </c>
      <c r="B73" s="5" t="n">
        <v>16</v>
      </c>
      <c r="C73" s="6" t="n">
        <v>75000</v>
      </c>
      <c r="D73" s="7" t="n">
        <f aca="false">(1400/((1500-1150)/(C73-G73)))+(G73-(1150*(C73-G73)/(1500-1150)))</f>
        <v>60655.7142857143</v>
      </c>
      <c r="E73" s="8" t="n">
        <f aca="false">(1300/((1500-1150)/(C73-G73)))+(G73-(1150*(C73-G73)/(1500-1150)))</f>
        <v>46311.4285714286</v>
      </c>
      <c r="F73" s="9" t="n">
        <v>29563</v>
      </c>
      <c r="G73" s="9" t="n">
        <v>24795</v>
      </c>
      <c r="H73" s="9" t="n">
        <v>15258</v>
      </c>
    </row>
    <row r="74" customFormat="false" ht="12.75" hidden="false" customHeight="false" outlineLevel="0" collapsed="false">
      <c r="A74" s="5"/>
      <c r="B74" s="5"/>
      <c r="D74" s="4"/>
    </row>
    <row r="75" customFormat="false" ht="12.75" hidden="false" customHeight="false" outlineLevel="0" collapsed="false">
      <c r="A75" s="5"/>
      <c r="B75" s="5"/>
      <c r="D75" s="4"/>
    </row>
    <row r="76" customFormat="false" ht="12.75" hidden="false" customHeight="false" outlineLevel="0" collapsed="false">
      <c r="A76" s="5"/>
      <c r="B76" s="5"/>
      <c r="D76" s="4"/>
    </row>
    <row r="77" customFormat="false" ht="12.75" hidden="false" customHeight="false" outlineLevel="0" collapsed="false">
      <c r="A77" s="5"/>
      <c r="B77" s="5"/>
      <c r="D77" s="4"/>
    </row>
    <row r="78" customFormat="false" ht="12.75" hidden="false" customHeight="false" outlineLevel="0" collapsed="false">
      <c r="A78" s="5"/>
      <c r="B78" s="5"/>
      <c r="D78" s="4"/>
    </row>
    <row r="79" customFormat="false" ht="12.75" hidden="false" customHeight="false" outlineLevel="0" collapsed="false">
      <c r="A79" s="5"/>
      <c r="B79" s="5"/>
      <c r="D79" s="4"/>
    </row>
    <row r="80" customFormat="false" ht="12.75" hidden="false" customHeight="false" outlineLevel="0" collapsed="false">
      <c r="A80" s="5"/>
      <c r="B80" s="5"/>
      <c r="D80" s="4"/>
    </row>
    <row r="81" customFormat="false" ht="12.75" hidden="false" customHeight="false" outlineLevel="0" collapsed="false">
      <c r="A81" s="5"/>
      <c r="B81" s="5"/>
      <c r="D81" s="4"/>
    </row>
    <row r="82" customFormat="false" ht="12.75" hidden="false" customHeight="false" outlineLevel="0" collapsed="false">
      <c r="A82" s="5"/>
      <c r="B82" s="5"/>
      <c r="D82" s="4"/>
    </row>
    <row r="83" customFormat="false" ht="12.75" hidden="false" customHeight="false" outlineLevel="0" collapsed="false">
      <c r="A83" s="5"/>
      <c r="B83" s="5"/>
      <c r="D83" s="4"/>
    </row>
    <row r="84" customFormat="false" ht="12.75" hidden="false" customHeight="false" outlineLevel="0" collapsed="false">
      <c r="A84" s="5"/>
      <c r="B84" s="5"/>
      <c r="D84" s="4"/>
    </row>
    <row r="85" customFormat="false" ht="12.75" hidden="false" customHeight="false" outlineLevel="0" collapsed="false">
      <c r="A85" s="5"/>
      <c r="B85" s="5"/>
      <c r="D85" s="4"/>
    </row>
    <row r="86" customFormat="false" ht="12.75" hidden="false" customHeight="false" outlineLevel="0" collapsed="false">
      <c r="A86" s="5"/>
      <c r="B86" s="5"/>
      <c r="D86" s="4"/>
    </row>
    <row r="87" customFormat="false" ht="12.75" hidden="false" customHeight="false" outlineLevel="0" collapsed="false">
      <c r="A87" s="5"/>
      <c r="B87" s="5"/>
      <c r="D87" s="4"/>
    </row>
    <row r="88" customFormat="false" ht="12.75" hidden="false" customHeight="false" outlineLevel="0" collapsed="false">
      <c r="A88" s="5"/>
      <c r="B88" s="5"/>
      <c r="D88" s="4"/>
    </row>
    <row r="89" customFormat="false" ht="12.75" hidden="false" customHeight="false" outlineLevel="0" collapsed="false">
      <c r="A89" s="5"/>
      <c r="B89" s="5"/>
      <c r="D89" s="4"/>
    </row>
    <row r="90" customFormat="false" ht="12.75" hidden="false" customHeight="false" outlineLevel="0" collapsed="false">
      <c r="A90" s="5"/>
      <c r="B90" s="5"/>
      <c r="D90" s="4"/>
    </row>
    <row r="91" customFormat="false" ht="12.75" hidden="false" customHeight="false" outlineLevel="0" collapsed="false">
      <c r="A91" s="5"/>
      <c r="B91" s="5"/>
      <c r="D91" s="4"/>
    </row>
    <row r="92" customFormat="false" ht="12.75" hidden="false" customHeight="false" outlineLevel="0" collapsed="false">
      <c r="A92" s="5"/>
      <c r="B92" s="5"/>
      <c r="D92" s="4"/>
    </row>
    <row r="93" customFormat="false" ht="12.75" hidden="false" customHeight="false" outlineLevel="0" collapsed="false">
      <c r="A93" s="5"/>
      <c r="B93" s="5"/>
      <c r="D93" s="4"/>
    </row>
    <row r="94" customFormat="false" ht="12.75" hidden="false" customHeight="false" outlineLevel="0" collapsed="false">
      <c r="A94" s="5"/>
      <c r="B94" s="5"/>
      <c r="D94" s="4"/>
    </row>
    <row r="95" customFormat="false" ht="12.75" hidden="false" customHeight="false" outlineLevel="0" collapsed="false">
      <c r="A95" s="5"/>
      <c r="B95" s="5"/>
      <c r="D95" s="4"/>
    </row>
    <row r="96" customFormat="false" ht="12.75" hidden="false" customHeight="false" outlineLevel="0" collapsed="false">
      <c r="A96" s="5"/>
      <c r="B96" s="5"/>
      <c r="D96" s="4"/>
    </row>
    <row r="97" customFormat="false" ht="12.75" hidden="false" customHeight="false" outlineLevel="0" collapsed="false">
      <c r="A97" s="5"/>
      <c r="B97" s="5"/>
      <c r="D97" s="4"/>
    </row>
    <row r="98" customFormat="false" ht="12.75" hidden="false" customHeight="false" outlineLevel="0" collapsed="false">
      <c r="A98" s="5"/>
      <c r="B98" s="5"/>
      <c r="D98" s="4"/>
    </row>
    <row r="99" customFormat="false" ht="12.75" hidden="false" customHeight="false" outlineLevel="0" collapsed="false">
      <c r="A99" s="5"/>
      <c r="B99" s="5"/>
      <c r="D99" s="4"/>
    </row>
    <row r="100" customFormat="false" ht="12.75" hidden="false" customHeight="false" outlineLevel="0" collapsed="false">
      <c r="A100" s="5"/>
      <c r="B100" s="5"/>
      <c r="D100" s="4"/>
    </row>
    <row r="101" customFormat="false" ht="12.75" hidden="false" customHeight="false" outlineLevel="0" collapsed="false">
      <c r="A101" s="5"/>
      <c r="B101" s="5"/>
      <c r="D101" s="4"/>
    </row>
    <row r="102" customFormat="false" ht="12.75" hidden="false" customHeight="false" outlineLevel="0" collapsed="false">
      <c r="A102" s="5"/>
      <c r="B102" s="5"/>
      <c r="D102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2026-05-23T01:06:55Z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